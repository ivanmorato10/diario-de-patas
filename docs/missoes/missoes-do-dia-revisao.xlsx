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revisar" sheetId="1" state="visible" r:id="rId3"/>
    <sheet name="Missões do dia" sheetId="2" state="visible" r:id="rId4"/>
    <sheet name="Resumo" sheetId="3" state="visible" r:id="rId5"/>
  </sheets>
  <definedNames>
    <definedName function="false" hidden="true" localSheetId="1" name="_xlnm._FilterDatabase" vbProcedure="false">'Missões do dia'!$A$1:$K$67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<sst xmlns="http://schemas.openxmlformats.org/spreadsheetml/2006/main" count="579" uniqueCount="312">
  <si>
    <t xml:space="preserve">Missões do dia — revisão</t>
  </si>
  <si>
    <t xml:space="preserve">Diário de Patas · 66 missões do dia: 36 que já estão no app + 30 novas (D37–D66), 10 em cada espaço.</t>
  </si>
  <si>
    <t xml:space="preserve">Como revisar</t>
  </si>
  <si>
    <t xml:space="preserve">1. Abra a aba “Missões do dia”. As linhas novas estão em pêssego e marcadas “Nova”.</t>
  </si>
  <si>
    <t xml:space="preserve">2. Na coluna “Sua decisão” (fundo amarelo), escolha: Aprovar · Editar · Remover.</t>
  </si>
  <si>
    <t xml:space="preserve">3. Se escolher Editar, escreva a mudança em “Comentário” — ou reescreva direto o Título, a Descrição ou “O que a foto mostra”.</t>
  </si>
  <si>
    <t xml:space="preserve">4. As missões atuais também podem ser revisadas, mas não é obrigatório.</t>
  </si>
  <si>
    <t xml:space="preserve">5. A aba “Resumo” conta quantas ficam em cada espaço. A regra “não repetir em 14 dias” precisa de pelo menos 15 por espaço.</t>
  </si>
  <si>
    <t xml:space="preserve">O que cada coluna quer dizer</t>
  </si>
  <si>
    <t xml:space="preserve">Espaço: o app sorteia 1 missão de cada espaço por dia (A, B e C).</t>
  </si>
  <si>
    <t xml:space="preserve">O que a foto mostra: o critério que o dono confirma ao concluir a missão.</t>
  </si>
  <si>
    <t xml:space="preserve">Onde: ajuda o sorteio a respeitar quem não passeia ou não tem visitas. “Retrato” = vale para quem não sai de casa.</t>
  </si>
  <si>
    <t xml:space="preserve">Regras que as novas seguem</t>
  </si>
  <si>
    <t xml:space="preserve">Nada de comida extra só para a foto · nada forçado (“só se ele gostar”) · sem risco · sem repetir as missões únicas (M01–M48).</t>
  </si>
  <si>
    <t xml:space="preserve">Depois da sua revisão, eu coloco as aprovadas no app e no banco de dados.</t>
  </si>
  <si>
    <t xml:space="preserve">Situação</t>
  </si>
  <si>
    <t xml:space="preserve">ID</t>
  </si>
  <si>
    <t xml:space="preserve">Espaço</t>
  </si>
  <si>
    <t xml:space="preserve">Título</t>
  </si>
  <si>
    <t xml:space="preserve">Descrição</t>
  </si>
  <si>
    <t xml:space="preserve">O que a foto mostra</t>
  </si>
  <si>
    <t xml:space="preserve">Coleção</t>
  </si>
  <si>
    <t xml:space="preserve">Onde</t>
  </si>
  <si>
    <t xml:space="preserve">Retrato</t>
  </si>
  <si>
    <t xml:space="preserve">Sua decisão</t>
  </si>
  <si>
    <t xml:space="preserve">Comentário</t>
  </si>
  <si>
    <t xml:space="preserve">No app</t>
  </si>
  <si>
    <t xml:space="preserve">D01</t>
  </si>
  <si>
    <t xml:space="preserve">A · Casa e descanso</t>
  </si>
  <si>
    <t xml:space="preserve">Meu cantinho favorito</t>
  </si>
  <si>
    <t xml:space="preserve">O lugar da casa que foi o escolhido de hoje.</t>
  </si>
  <si>
    <t xml:space="preserve">O cachorro no cantinho preferido.</t>
  </si>
  <si>
    <t xml:space="preserve">Vida em casa</t>
  </si>
  <si>
    <t xml:space="preserve">Em casa</t>
  </si>
  <si>
    <t xml:space="preserve">D02</t>
  </si>
  <si>
    <t xml:space="preserve">Soneca da tarde</t>
  </si>
  <si>
    <t xml:space="preserve">Aquele cochilo depois do almoço.</t>
  </si>
  <si>
    <t xml:space="preserve">O cachorro cochilando.</t>
  </si>
  <si>
    <t xml:space="preserve">D03</t>
  </si>
  <si>
    <t xml:space="preserve">Esperando o petisco de sempre</t>
  </si>
  <si>
    <t xml:space="preserve">A espera pelo petisco de todo dia — nada extra para a foto.</t>
  </si>
  <si>
    <t xml:space="preserve">O cachorro esperando o petisco habitual.</t>
  </si>
  <si>
    <t xml:space="preserve">D04</t>
  </si>
  <si>
    <t xml:space="preserve">Na janela</t>
  </si>
  <si>
    <t xml:space="preserve">De olho no movimento lá fora.</t>
  </si>
  <si>
    <t xml:space="preserve">O cachorro olhando pela janela.</t>
  </si>
  <si>
    <t xml:space="preserve">D05</t>
  </si>
  <si>
    <t xml:space="preserve">Depois da aventura, descanso</t>
  </si>
  <si>
    <t xml:space="preserve">Recarregando as energias.</t>
  </si>
  <si>
    <t xml:space="preserve">O cachorro descansando depois de brincar ou passear.</t>
  </si>
  <si>
    <t xml:space="preserve">D06</t>
  </si>
  <si>
    <t xml:space="preserve">Espreguiçada</t>
  </si>
  <si>
    <t xml:space="preserve">Aquela esticada caprichada.</t>
  </si>
  <si>
    <t xml:space="preserve">O cachorro se espreguiçando.</t>
  </si>
  <si>
    <t xml:space="preserve">D07</t>
  </si>
  <si>
    <t xml:space="preserve">No tapete</t>
  </si>
  <si>
    <t xml:space="preserve">Esparramado no tapete de casa.</t>
  </si>
  <si>
    <t xml:space="preserve">O cachorro no tapete.</t>
  </si>
  <si>
    <t xml:space="preserve">D08</t>
  </si>
  <si>
    <t xml:space="preserve">Hora da refeição de sempre</t>
  </si>
  <si>
    <t xml:space="preserve">A refeição de todo dia, sem nada extra para a foto.</t>
  </si>
  <si>
    <t xml:space="preserve">O cachorro junto ao pote da refeição habitual.</t>
  </si>
  <si>
    <t xml:space="preserve">D09</t>
  </si>
  <si>
    <t xml:space="preserve">Bagunça do dia</t>
  </si>
  <si>
    <t xml:space="preserve">A arte de hoje — sem bronca, só registro.</t>
  </si>
  <si>
    <t xml:space="preserve">O cachorro perto de uma bagunça.</t>
  </si>
  <si>
    <t xml:space="preserve">D10</t>
  </si>
  <si>
    <t xml:space="preserve">Cochilo no sol</t>
  </si>
  <si>
    <t xml:space="preserve">Aquela faixa de sol no chão.</t>
  </si>
  <si>
    <t xml:space="preserve">O cachorro deitado no sol.</t>
  </si>
  <si>
    <t xml:space="preserve">D11</t>
  </si>
  <si>
    <t xml:space="preserve">Olhar de “já acabou?”</t>
  </si>
  <si>
    <t xml:space="preserve">Aquela cara de quem queria mais um pouco.</t>
  </si>
  <si>
    <t xml:space="preserve">O cachorro olhando para a câmera.</t>
  </si>
  <si>
    <t xml:space="preserve">Manias e expressões</t>
  </si>
  <si>
    <t xml:space="preserve">D12</t>
  </si>
  <si>
    <t xml:space="preserve">Foto do dia em casa</t>
  </si>
  <si>
    <t xml:space="preserve">Qualquer momento de hoje em casa vale.</t>
  </si>
  <si>
    <t xml:space="preserve">O cachorro em casa.</t>
  </si>
  <si>
    <t xml:space="preserve">Nova</t>
  </si>
  <si>
    <t xml:space="preserve">D37</t>
  </si>
  <si>
    <t xml:space="preserve">Patinhas cruzadas</t>
  </si>
  <si>
    <t xml:space="preserve">Aquela pose chique, de patas cruzadas.</t>
  </si>
  <si>
    <t xml:space="preserve">O cachorro deitado com as patas da frente à vista.</t>
  </si>
  <si>
    <t xml:space="preserve">D38</t>
  </si>
  <si>
    <t xml:space="preserve">Arrumando a cama</t>
  </si>
  <si>
    <t xml:space="preserve">As voltinhas e cavucadas antes de deitar.</t>
  </si>
  <si>
    <t xml:space="preserve">O cachorro na cama ou caminha dele.</t>
  </si>
  <si>
    <t xml:space="preserve">D39</t>
  </si>
  <si>
    <t xml:space="preserve">De guarda</t>
  </si>
  <si>
    <t xml:space="preserve">No posto de vigia preferido da casa.</t>
  </si>
  <si>
    <t xml:space="preserve">O cachorro atento dentro de casa.</t>
  </si>
  <si>
    <t xml:space="preserve">D40</t>
  </si>
  <si>
    <t xml:space="preserve">Pezinho de fora</t>
  </si>
  <si>
    <t xml:space="preserve">Uma patinha escapando enquanto ele descansa.</t>
  </si>
  <si>
    <t xml:space="preserve">O cachorro deitado com uma pata aparecendo.</t>
  </si>
  <si>
    <t xml:space="preserve">D41</t>
  </si>
  <si>
    <t xml:space="preserve">Fiscal da cozinha</t>
  </si>
  <si>
    <t xml:space="preserve">De olho em tudo enquanto alguém cozinha — sem comida de gente.</t>
  </si>
  <si>
    <t xml:space="preserve">O cachorro na cozinha.</t>
  </si>
  <si>
    <t xml:space="preserve">D42</t>
  </si>
  <si>
    <t xml:space="preserve">Hora da água</t>
  </si>
  <si>
    <t xml:space="preserve">Matando a sede no pote de sempre.</t>
  </si>
  <si>
    <t xml:space="preserve">O cachorro perto do pote de água.</t>
  </si>
  <si>
    <t xml:space="preserve">D43</t>
  </si>
  <si>
    <t xml:space="preserve">Debaixo da manta</t>
  </si>
  <si>
    <t xml:space="preserve">Enroladinho na manta — só se ele gostar.</t>
  </si>
  <si>
    <t xml:space="preserve">O cachorro com uma manta, coberta ou almofada.</t>
  </si>
  <si>
    <t xml:space="preserve">D44</t>
  </si>
  <si>
    <t xml:space="preserve">Sombra oficial</t>
  </si>
  <si>
    <t xml:space="preserve">Aquele que segue você por todos os cômodos.</t>
  </si>
  <si>
    <t xml:space="preserve">O cachorro andando ou parado dentro de casa.</t>
  </si>
  <si>
    <t xml:space="preserve">Nosso vínculo</t>
  </si>
  <si>
    <t xml:space="preserve">D45</t>
  </si>
  <si>
    <t xml:space="preserve">Sonhando acordado</t>
  </si>
  <si>
    <t xml:space="preserve">Olhar perdido, pensamento longe.</t>
  </si>
  <si>
    <t xml:space="preserve">O cachorro deitado de olhos abertos.</t>
  </si>
  <si>
    <t xml:space="preserve">D46</t>
  </si>
  <si>
    <t xml:space="preserve">Colega de trabalho</t>
  </si>
  <si>
    <t xml:space="preserve">Do lado enquanto alguém lê, estuda ou trabalha.</t>
  </si>
  <si>
    <t xml:space="preserve">O cachorro perto de alguém lendo ou no computador.</t>
  </si>
  <si>
    <t xml:space="preserve">Com pessoas</t>
  </si>
  <si>
    <t xml:space="preserve">D13</t>
  </si>
  <si>
    <t xml:space="preserve">B · Companhia e brincadeira</t>
  </si>
  <si>
    <t xml:space="preserve">Brinquedo inseparável</t>
  </si>
  <si>
    <t xml:space="preserve">O brinquedo que vai para todo canto.</t>
  </si>
  <si>
    <t xml:space="preserve">O cachorro com um brinquedo.</t>
  </si>
  <si>
    <t xml:space="preserve">D14</t>
  </si>
  <si>
    <t xml:space="preserve">Companhia no sofá</t>
  </si>
  <si>
    <t xml:space="preserve">Dividindo o sofá com alguém.</t>
  </si>
  <si>
    <t xml:space="preserve">O cachorro no sofá junto de uma pessoa.</t>
  </si>
  <si>
    <t xml:space="preserve">D15</t>
  </si>
  <si>
    <t xml:space="preserve">Foto com meu humano</t>
  </si>
  <si>
    <t xml:space="preserve">Você e seu cachorro, do jeito que der.</t>
  </si>
  <si>
    <t xml:space="preserve">O cachorro com uma pessoa.</t>
  </si>
  <si>
    <t xml:space="preserve">D16</t>
  </si>
  <si>
    <t xml:space="preserve">Cabo de guerra</t>
  </si>
  <si>
    <t xml:space="preserve">Uma rodada de puxa-puxa.</t>
  </si>
  <si>
    <t xml:space="preserve">O cachorro puxando um brinquedo.</t>
  </si>
  <si>
    <t xml:space="preserve">Qualquer lugar</t>
  </si>
  <si>
    <t xml:space="preserve">D17</t>
  </si>
  <si>
    <t xml:space="preserve">Buscando a bolinha</t>
  </si>
  <si>
    <t xml:space="preserve">Vai, pega, traz — de novo.</t>
  </si>
  <si>
    <t xml:space="preserve">O cachorro com uma bolinha.</t>
  </si>
  <si>
    <t xml:space="preserve">D18</t>
  </si>
  <si>
    <t xml:space="preserve">Carinho na barriga</t>
  </si>
  <si>
    <t xml:space="preserve">A barriga para cima pedindo carinho.</t>
  </si>
  <si>
    <t xml:space="preserve">Uma pessoa fazendo carinho no cachorro.</t>
  </si>
  <si>
    <t xml:space="preserve">D19</t>
  </si>
  <si>
    <t xml:space="preserve">Treino de um truque</t>
  </si>
  <si>
    <t xml:space="preserve">Um treino rápido, no ritmo do seu cachorro.</t>
  </si>
  <si>
    <t xml:space="preserve">O cachorro treinando um truque.</t>
  </si>
  <si>
    <t xml:space="preserve">D20</t>
  </si>
  <si>
    <t xml:space="preserve">Brincando com alguém da família</t>
  </si>
  <si>
    <t xml:space="preserve">Uma brincadeira em família.</t>
  </si>
  <si>
    <t xml:space="preserve">O cachorro brincando com uma pessoa.</t>
  </si>
  <si>
    <t xml:space="preserve">D21</t>
  </si>
  <si>
    <t xml:space="preserve">Juntinhos</t>
  </si>
  <si>
    <t xml:space="preserve">Bem pertinho de alguém.</t>
  </si>
  <si>
    <t xml:space="preserve">O cachorro encostado em uma pessoa.</t>
  </si>
  <si>
    <t xml:space="preserve">D22</t>
  </si>
  <si>
    <t xml:space="preserve">Recebendo alguém em casa</t>
  </si>
  <si>
    <t xml:space="preserve">A festa de quando alguém chega.</t>
  </si>
  <si>
    <t xml:space="preserve">O cachorro recebendo uma pessoa.</t>
  </si>
  <si>
    <t xml:space="preserve">D23</t>
  </si>
  <si>
    <t xml:space="preserve">Momento de carinho</t>
  </si>
  <si>
    <t xml:space="preserve">Um carinho qualquer, do jeito de vocês.</t>
  </si>
  <si>
    <t xml:space="preserve">D24</t>
  </si>
  <si>
    <t xml:space="preserve">Brincadeira inventada</t>
  </si>
  <si>
    <t xml:space="preserve">Aquela brincadeira que só vocês conhecem.</t>
  </si>
  <si>
    <t xml:space="preserve">O cachorro brincando.</t>
  </si>
  <si>
    <t xml:space="preserve">D47</t>
  </si>
  <si>
    <t xml:space="preserve">Esconde-esconde</t>
  </si>
  <si>
    <t xml:space="preserve">Achou! Uma rodada de procurar alguém ou um brinquedo.</t>
  </si>
  <si>
    <t xml:space="preserve">O cachorro procurando ou encontrando alguém ou um brinquedo.</t>
  </si>
  <si>
    <t xml:space="preserve">D48</t>
  </si>
  <si>
    <t xml:space="preserve">Brinquedo redescoberto</t>
  </si>
  <si>
    <t xml:space="preserve">Aquele que estava sumido debaixo do sofá.</t>
  </si>
  <si>
    <t xml:space="preserve">D49</t>
  </si>
  <si>
    <t xml:space="preserve">Pega-pega</t>
  </si>
  <si>
    <t xml:space="preserve">Correndo atrás de alguém — ou fugindo.</t>
  </si>
  <si>
    <t xml:space="preserve">O cachorro correndo perto de uma pessoa.</t>
  </si>
  <si>
    <t xml:space="preserve">D50</t>
  </si>
  <si>
    <t xml:space="preserve">Mordedor da vez</t>
  </si>
  <si>
    <t xml:space="preserve">O mordedor preferido de hoje.</t>
  </si>
  <si>
    <t xml:space="preserve">O cachorro mordiscando um brinquedo ou mordedor.</t>
  </si>
  <si>
    <t xml:space="preserve">D51</t>
  </si>
  <si>
    <t xml:space="preserve">Abraço apertado</t>
  </si>
  <si>
    <t xml:space="preserve">Um abraço, só se ele curtir.</t>
  </si>
  <si>
    <t xml:space="preserve">Uma pessoa abraçando o cachorro.</t>
  </si>
  <si>
    <t xml:space="preserve">D52</t>
  </si>
  <si>
    <t xml:space="preserve">Caça ao petisco</t>
  </si>
  <si>
    <t xml:space="preserve">Os petiscos de sempre escondidos para ele farejar.</t>
  </si>
  <si>
    <t xml:space="preserve">O cachorro farejando dentro de casa.</t>
  </si>
  <si>
    <t xml:space="preserve">D53</t>
  </si>
  <si>
    <t xml:space="preserve">Atenção total</t>
  </si>
  <si>
    <t xml:space="preserve">Sentadinho, esperando o próximo pedido.</t>
  </si>
  <si>
    <t xml:space="preserve">O cachorro sentado olhando para alguém.</t>
  </si>
  <si>
    <t xml:space="preserve">D54</t>
  </si>
  <si>
    <t xml:space="preserve">Dupla no chão</t>
  </si>
  <si>
    <t xml:space="preserve">Alguém sentado no chão, na altura dele.</t>
  </si>
  <si>
    <t xml:space="preserve">Uma pessoa sentada no chão com o cachorro.</t>
  </si>
  <si>
    <t xml:space="preserve">D55</t>
  </si>
  <si>
    <t xml:space="preserve">Vem pegar!</t>
  </si>
  <si>
    <t xml:space="preserve">Brinquedo na boca e olhar de desafio.</t>
  </si>
  <si>
    <t xml:space="preserve">O cachorro com um brinquedo na boca olhando para a câmera.</t>
  </si>
  <si>
    <t xml:space="preserve">D56</t>
  </si>
  <si>
    <t xml:space="preserve">Escovinha</t>
  </si>
  <si>
    <t xml:space="preserve">Um momento de escovar o pelo, no ritmo dele.</t>
  </si>
  <si>
    <t xml:space="preserve">Uma pessoa escovando o cachorro.</t>
  </si>
  <si>
    <t xml:space="preserve">Cuidados</t>
  </si>
  <si>
    <t xml:space="preserve">D25</t>
  </si>
  <si>
    <t xml:space="preserve">C · Passeio ou retrato</t>
  </si>
  <si>
    <t xml:space="preserve">Passeio do dia</t>
  </si>
  <si>
    <t xml:space="preserve">O passeio de hoje, curto ou longo.</t>
  </si>
  <si>
    <t xml:space="preserve">O cachorro passeando.</t>
  </si>
  <si>
    <t xml:space="preserve">Pequenas aventuras</t>
  </si>
  <si>
    <t xml:space="preserve">Ao ar livre</t>
  </si>
  <si>
    <t xml:space="preserve">D26</t>
  </si>
  <si>
    <t xml:space="preserve">Explorando um cheiro</t>
  </si>
  <si>
    <t xml:space="preserve">Aquela farejada que não tem pressa.</t>
  </si>
  <si>
    <t xml:space="preserve">O cachorro farejando lá fora.</t>
  </si>
  <si>
    <t xml:space="preserve">D27</t>
  </si>
  <si>
    <t xml:space="preserve">Retrato de pertinho</t>
  </si>
  <si>
    <t xml:space="preserve">Um retrato bem de perto.</t>
  </si>
  <si>
    <t xml:space="preserve">Retrato próximo do cachorro.</t>
  </si>
  <si>
    <t xml:space="preserve">Sim</t>
  </si>
  <si>
    <t xml:space="preserve">D28</t>
  </si>
  <si>
    <t xml:space="preserve">Perfil elegante</t>
  </si>
  <si>
    <t xml:space="preserve">De lado, pose de quadro.</t>
  </si>
  <si>
    <t xml:space="preserve">O cachorro de perfil.</t>
  </si>
  <si>
    <t xml:space="preserve">D29</t>
  </si>
  <si>
    <t xml:space="preserve">Olhando para a câmera</t>
  </si>
  <si>
    <t xml:space="preserve">Olho no olho.</t>
  </si>
  <si>
    <t xml:space="preserve">D30</t>
  </si>
  <si>
    <t xml:space="preserve">Grama ou terra</t>
  </si>
  <si>
    <t xml:space="preserve">Patas na grama ou na terra.</t>
  </si>
  <si>
    <t xml:space="preserve">O cachorro na grama ou na terra.</t>
  </si>
  <si>
    <t xml:space="preserve">D31</t>
  </si>
  <si>
    <t xml:space="preserve">Encontro na rua</t>
  </si>
  <si>
    <t xml:space="preserve">Um encontro tranquilo com outro cachorro.</t>
  </si>
  <si>
    <t xml:space="preserve">O cachorro perto de outro cachorro.</t>
  </si>
  <si>
    <t xml:space="preserve">Com outros cães</t>
  </si>
  <si>
    <t xml:space="preserve">D32</t>
  </si>
  <si>
    <t xml:space="preserve">Uma pose engraçada</t>
  </si>
  <si>
    <t xml:space="preserve">Você decide o que é engraçado.</t>
  </si>
  <si>
    <t xml:space="preserve">O cachorro na foto. O humor é seu.</t>
  </si>
  <si>
    <t xml:space="preserve">D33</t>
  </si>
  <si>
    <t xml:space="preserve">Céu de hoje no passeio</t>
  </si>
  <si>
    <t xml:space="preserve">O céu de hoje aparecendo na foto.</t>
  </si>
  <si>
    <t xml:space="preserve">O cachorro lá fora com o céu aparecendo.</t>
  </si>
  <si>
    <t xml:space="preserve">D34</t>
  </si>
  <si>
    <t xml:space="preserve">De volta para casa</t>
  </si>
  <si>
    <t xml:space="preserve">A chegada depois do passeio.</t>
  </si>
  <si>
    <t xml:space="preserve">O cachorro voltando para casa.</t>
  </si>
  <si>
    <t xml:space="preserve">D35</t>
  </si>
  <si>
    <t xml:space="preserve">Retrato com luz bonita</t>
  </si>
  <si>
    <t xml:space="preserve">Aproveite uma luz bonita de hoje.</t>
  </si>
  <si>
    <t xml:space="preserve">Retrato do cachorro.</t>
  </si>
  <si>
    <t xml:space="preserve">D36</t>
  </si>
  <si>
    <t xml:space="preserve">Close no focinho</t>
  </si>
  <si>
    <t xml:space="preserve">O focinho em primeiro plano.</t>
  </si>
  <si>
    <t xml:space="preserve">Close do focinho do cachorro.</t>
  </si>
  <si>
    <t xml:space="preserve">D57</t>
  </si>
  <si>
    <t xml:space="preserve">A guia apareceu!</t>
  </si>
  <si>
    <t xml:space="preserve">A animação de quando a guia sai da gaveta.</t>
  </si>
  <si>
    <t xml:space="preserve">O cachorro com coleira, peitoral ou guia.</t>
  </si>
  <si>
    <t xml:space="preserve">D58</t>
  </si>
  <si>
    <t xml:space="preserve">Verde no caminho</t>
  </si>
  <si>
    <t xml:space="preserve">Folhas, flores ou galhos no passeio de hoje.</t>
  </si>
  <si>
    <t xml:space="preserve">O cachorro lá fora com plantas aparecendo.</t>
  </si>
  <si>
    <t xml:space="preserve">D59</t>
  </si>
  <si>
    <t xml:space="preserve">Pausa na sombra</t>
  </si>
  <si>
    <t xml:space="preserve">Um descanso fresquinho no meio do passeio.</t>
  </si>
  <si>
    <t xml:space="preserve">O cachorro na sombra, ao ar livre.</t>
  </si>
  <si>
    <t xml:space="preserve">D60</t>
  </si>
  <si>
    <t xml:space="preserve">Pelo ao vento</t>
  </si>
  <si>
    <t xml:space="preserve">O vento bagunçando o pelo ou as orelhas.</t>
  </si>
  <si>
    <t xml:space="preserve">O cachorro ao ar livre.</t>
  </si>
  <si>
    <t xml:space="preserve">D61</t>
  </si>
  <si>
    <t xml:space="preserve">Olhos nos olhos</t>
  </si>
  <si>
    <t xml:space="preserve">Os olhos em primeiro plano.</t>
  </si>
  <si>
    <t xml:space="preserve">Close dos olhos do cachorro.</t>
  </si>
  <si>
    <t xml:space="preserve">D62</t>
  </si>
  <si>
    <t xml:space="preserve">Silhueta</t>
  </si>
  <si>
    <t xml:space="preserve">Contra a luz, só o contorno.</t>
  </si>
  <si>
    <t xml:space="preserve">O cachorro contra a luz.</t>
  </si>
  <si>
    <t xml:space="preserve">D63</t>
  </si>
  <si>
    <t xml:space="preserve">Olhando para cima</t>
  </si>
  <si>
    <t xml:space="preserve">Foto de cima, com ele olhando para você.</t>
  </si>
  <si>
    <t xml:space="preserve">O cachorro olhando para cima.</t>
  </si>
  <si>
    <t xml:space="preserve">D64</t>
  </si>
  <si>
    <t xml:space="preserve">Na altura dele</t>
  </si>
  <si>
    <t xml:space="preserve">O mundo visto da altura do seu cachorro.</t>
  </si>
  <si>
    <t xml:space="preserve">Foto tirada na altura do cachorro.</t>
  </si>
  <si>
    <t xml:space="preserve">D65</t>
  </si>
  <si>
    <t xml:space="preserve">Banquinho da praça</t>
  </si>
  <si>
    <t xml:space="preserve">Uma parada num banco ou mureta do passeio.</t>
  </si>
  <si>
    <t xml:space="preserve">O cachorro perto de um banco ou mureta lá fora.</t>
  </si>
  <si>
    <t xml:space="preserve">D66</t>
  </si>
  <si>
    <t xml:space="preserve">Corpo inteiro</t>
  </si>
  <si>
    <t xml:space="preserve">Da ponta do focinho à ponta do rabo.</t>
  </si>
  <si>
    <t xml:space="preserve">O cachorro inteiro na foto.</t>
  </si>
  <si>
    <t xml:space="preserve">Novas</t>
  </si>
  <si>
    <t xml:space="preserve">Removidas</t>
  </si>
  <si>
    <t xml:space="preserve">Ficam</t>
  </si>
  <si>
    <t xml:space="preserve">Mínimo (14 dias)</t>
  </si>
  <si>
    <t xml:space="preserve">Total</t>
  </si>
  <si>
    <t xml:space="preserve">Aprovadas (novas)</t>
  </si>
  <si>
    <t xml:space="preserve">Para editar</t>
  </si>
  <si>
    <t xml:space="preserve">Ainda sem decisão (novas)</t>
  </si>
  <si>
    <t xml:space="preserve">Mínimo: 14 dias sem repetir pede pelo menos 15 missões por espaço (regra do MUDANCAS-V2 §7).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</si>
</sst>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2D1E"/>
      <name val="Arial"/>
      <family val="0"/>
      <charset val="1"/>
    </font>
    <font>
      <sz val="11"/>
      <color rgb="FF6B5A4A"/>
      <name val="Arial"/>
      <family val="0"/>
      <charset val="1"/>
    </font>
    <font>
      <b val="true"/>
      <sz val="13"/>
      <color rgb="FF3D2D1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D2D1E"/>
      <name val="Arial"/>
      <family val="0"/>
      <charset val="1"/>
    </font>
    <font>
      <b val="true"/>
      <sz val="10"/>
      <color rgb="FF3D2D1E"/>
      <name val="Arial"/>
      <family val="0"/>
      <charset val="1"/>
    </font>
    <font>
      <i val="true"/>
      <sz val="9"/>
      <color rgb="FF6B5A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2D1E"/>
        <bgColor rgb="FF333300"/>
      </patternFill>
    </fill>
    <fill>
      <patternFill patternType="solid">
        <fgColor rgb="FFFFF3B0"/>
        <bgColor rgb="FFFFD9BF"/>
      </patternFill>
    </fill>
    <fill>
      <patternFill patternType="solid">
        <fgColor rgb="FFFFD9BF"/>
        <bgColor rgb="FFF6C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E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D2D1E"/>
          <bgColor rgb="FF000000"/>
        </patternFill>
      </fill>
    </dxf>
    <dxf>
      <fill>
        <patternFill patternType="solid">
          <fgColor rgb="FFFFD9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>
          <bgColor rgb="FFF6C9C4"/>
        </patternFill>
      </fill>
    </dxf>
    <dxf>
      <fill>
        <patternFill>
          <bgColor rgb="FFCDEB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9BF"/>
      <rgbColor rgb="FFCCFFFF"/>
      <rgbColor rgb="FF660066"/>
      <rgbColor rgb="FFFF8080"/>
      <rgbColor rgb="FF0066CC"/>
      <rgbColor rgb="FFCFE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D"/>
      <rgbColor rgb="FFFFF3B0"/>
      <rgbColor rgb="FF99CCFF"/>
      <rgbColor rgb="FFFF99CC"/>
      <rgbColor rgb="FFCC99FF"/>
      <rgbColor rgb="FFF6C9C4"/>
      <rgbColor rgb="FF3366FF"/>
      <rgbColor rgb="FF33CCCC"/>
      <rgbColor rgb="FF99CC00"/>
      <rgbColor rgb="FFFFCC00"/>
      <rgbColor rgb="FFFF9900"/>
      <rgbColor rgb="FFFF6600"/>
      <rgbColor rgb="FF6B5A4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2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26.8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26.8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3"/>
    </row>
    <row r="12" customFormat="false" ht="16.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3"/>
    </row>
    <row r="17" customFormat="false" ht="16.1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</row>
    <row r="2" customFormat="false" ht="15" hidden="false" customHeight="false" outlineLevel="0" collapsed="false">
      <c r="A2" s="7" t="s">
        <v>26</v>
      </c>
      <c r="B2" s="7" t="s">
        <v>27</v>
      </c>
      <c r="C2" s="7" t="s">
        <v>28</v>
      </c>
      <c r="D2" s="8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/>
      <c r="J2" s="9"/>
      <c r="K2" s="7"/>
    </row>
    <row r="3" customFormat="false" ht="15" hidden="false" customHeight="false" outlineLevel="0" collapsed="false">
      <c r="A3" s="7" t="s">
        <v>26</v>
      </c>
      <c r="B3" s="7" t="s">
        <v>34</v>
      </c>
      <c r="C3" s="7" t="s">
        <v>28</v>
      </c>
      <c r="D3" s="8" t="s">
        <v>35</v>
      </c>
      <c r="E3" s="7" t="s">
        <v>36</v>
      </c>
      <c r="F3" s="7" t="s">
        <v>37</v>
      </c>
      <c r="G3" s="7" t="s">
        <v>32</v>
      </c>
      <c r="H3" s="7" t="s">
        <v>33</v>
      </c>
      <c r="I3" s="7"/>
      <c r="J3" s="9"/>
      <c r="K3" s="7"/>
    </row>
    <row r="4" customFormat="false" ht="15" hidden="false" customHeight="false" outlineLevel="0" collapsed="false">
      <c r="A4" s="7" t="s">
        <v>26</v>
      </c>
      <c r="B4" s="7" t="s">
        <v>38</v>
      </c>
      <c r="C4" s="7" t="s">
        <v>28</v>
      </c>
      <c r="D4" s="8" t="s">
        <v>39</v>
      </c>
      <c r="E4" s="7" t="s">
        <v>40</v>
      </c>
      <c r="F4" s="7" t="s">
        <v>41</v>
      </c>
      <c r="G4" s="7" t="s">
        <v>32</v>
      </c>
      <c r="H4" s="7" t="s">
        <v>33</v>
      </c>
      <c r="I4" s="7"/>
      <c r="J4" s="9"/>
      <c r="K4" s="7"/>
    </row>
    <row r="5" customFormat="false" ht="15" hidden="false" customHeight="false" outlineLevel="0" collapsed="false">
      <c r="A5" s="7" t="s">
        <v>26</v>
      </c>
      <c r="B5" s="7" t="s">
        <v>42</v>
      </c>
      <c r="C5" s="7" t="s">
        <v>28</v>
      </c>
      <c r="D5" s="8" t="s">
        <v>43</v>
      </c>
      <c r="E5" s="7" t="s">
        <v>44</v>
      </c>
      <c r="F5" s="7" t="s">
        <v>45</v>
      </c>
      <c r="G5" s="7" t="s">
        <v>32</v>
      </c>
      <c r="H5" s="7" t="s">
        <v>33</v>
      </c>
      <c r="I5" s="7"/>
      <c r="J5" s="9"/>
      <c r="K5" s="7"/>
    </row>
    <row r="6" customFormat="false" ht="15" hidden="false" customHeight="false" outlineLevel="0" collapsed="false">
      <c r="A6" s="7" t="s">
        <v>26</v>
      </c>
      <c r="B6" s="7" t="s">
        <v>46</v>
      </c>
      <c r="C6" s="7" t="s">
        <v>28</v>
      </c>
      <c r="D6" s="8" t="s">
        <v>47</v>
      </c>
      <c r="E6" s="7" t="s">
        <v>48</v>
      </c>
      <c r="F6" s="7" t="s">
        <v>49</v>
      </c>
      <c r="G6" s="7" t="s">
        <v>32</v>
      </c>
      <c r="H6" s="7" t="s">
        <v>33</v>
      </c>
      <c r="I6" s="7"/>
      <c r="J6" s="9"/>
      <c r="K6" s="7"/>
    </row>
    <row r="7" customFormat="false" ht="15" hidden="false" customHeight="false" outlineLevel="0" collapsed="false">
      <c r="A7" s="7" t="s">
        <v>26</v>
      </c>
      <c r="B7" s="7" t="s">
        <v>50</v>
      </c>
      <c r="C7" s="7" t="s">
        <v>28</v>
      </c>
      <c r="D7" s="8" t="s">
        <v>51</v>
      </c>
      <c r="E7" s="7" t="s">
        <v>52</v>
      </c>
      <c r="F7" s="7" t="s">
        <v>53</v>
      </c>
      <c r="G7" s="7" t="s">
        <v>32</v>
      </c>
      <c r="H7" s="7" t="s">
        <v>33</v>
      </c>
      <c r="I7" s="7"/>
      <c r="J7" s="9"/>
      <c r="K7" s="7"/>
    </row>
    <row r="8" customFormat="false" ht="15" hidden="false" customHeight="false" outlineLevel="0" collapsed="false">
      <c r="A8" s="7" t="s">
        <v>26</v>
      </c>
      <c r="B8" s="7" t="s">
        <v>54</v>
      </c>
      <c r="C8" s="7" t="s">
        <v>28</v>
      </c>
      <c r="D8" s="8" t="s">
        <v>55</v>
      </c>
      <c r="E8" s="7" t="s">
        <v>56</v>
      </c>
      <c r="F8" s="7" t="s">
        <v>57</v>
      </c>
      <c r="G8" s="7" t="s">
        <v>32</v>
      </c>
      <c r="H8" s="7" t="s">
        <v>33</v>
      </c>
      <c r="I8" s="7"/>
      <c r="J8" s="9"/>
      <c r="K8" s="7"/>
    </row>
    <row r="9" customFormat="false" ht="15" hidden="false" customHeight="false" outlineLevel="0" collapsed="false">
      <c r="A9" s="7" t="s">
        <v>26</v>
      </c>
      <c r="B9" s="7" t="s">
        <v>58</v>
      </c>
      <c r="C9" s="7" t="s">
        <v>28</v>
      </c>
      <c r="D9" s="8" t="s">
        <v>59</v>
      </c>
      <c r="E9" s="7" t="s">
        <v>60</v>
      </c>
      <c r="F9" s="7" t="s">
        <v>61</v>
      </c>
      <c r="G9" s="7" t="s">
        <v>32</v>
      </c>
      <c r="H9" s="7" t="s">
        <v>33</v>
      </c>
      <c r="I9" s="7"/>
      <c r="J9" s="9"/>
      <c r="K9" s="7"/>
    </row>
    <row r="10" customFormat="false" ht="15" hidden="false" customHeight="false" outlineLevel="0" collapsed="false">
      <c r="A10" s="7" t="s">
        <v>26</v>
      </c>
      <c r="B10" s="7" t="s">
        <v>62</v>
      </c>
      <c r="C10" s="7" t="s">
        <v>28</v>
      </c>
      <c r="D10" s="8" t="s">
        <v>63</v>
      </c>
      <c r="E10" s="7" t="s">
        <v>64</v>
      </c>
      <c r="F10" s="7" t="s">
        <v>65</v>
      </c>
      <c r="G10" s="7" t="s">
        <v>32</v>
      </c>
      <c r="H10" s="7" t="s">
        <v>33</v>
      </c>
      <c r="I10" s="7"/>
      <c r="J10" s="9"/>
      <c r="K10" s="7"/>
    </row>
    <row r="11" customFormat="false" ht="15" hidden="false" customHeight="false" outlineLevel="0" collapsed="false">
      <c r="A11" s="7" t="s">
        <v>26</v>
      </c>
      <c r="B11" s="7" t="s">
        <v>66</v>
      </c>
      <c r="C11" s="7" t="s">
        <v>28</v>
      </c>
      <c r="D11" s="8" t="s">
        <v>67</v>
      </c>
      <c r="E11" s="7" t="s">
        <v>68</v>
      </c>
      <c r="F11" s="7" t="s">
        <v>69</v>
      </c>
      <c r="G11" s="7" t="s">
        <v>32</v>
      </c>
      <c r="H11" s="7" t="s">
        <v>33</v>
      </c>
      <c r="I11" s="7"/>
      <c r="J11" s="9"/>
      <c r="K11" s="7"/>
    </row>
    <row r="12" customFormat="false" ht="15" hidden="false" customHeight="false" outlineLevel="0" collapsed="false">
      <c r="A12" s="7" t="s">
        <v>26</v>
      </c>
      <c r="B12" s="7" t="s">
        <v>70</v>
      </c>
      <c r="C12" s="7" t="s">
        <v>28</v>
      </c>
      <c r="D12" s="8" t="s">
        <v>71</v>
      </c>
      <c r="E12" s="7" t="s">
        <v>72</v>
      </c>
      <c r="F12" s="7" t="s">
        <v>73</v>
      </c>
      <c r="G12" s="7" t="s">
        <v>74</v>
      </c>
      <c r="H12" s="7" t="s">
        <v>33</v>
      </c>
      <c r="I12" s="7"/>
      <c r="J12" s="9"/>
      <c r="K12" s="7"/>
    </row>
    <row r="13" customFormat="false" ht="15" hidden="false" customHeight="false" outlineLevel="0" collapsed="false">
      <c r="A13" s="7" t="s">
        <v>26</v>
      </c>
      <c r="B13" s="7" t="s">
        <v>75</v>
      </c>
      <c r="C13" s="7" t="s">
        <v>28</v>
      </c>
      <c r="D13" s="8" t="s">
        <v>76</v>
      </c>
      <c r="E13" s="7" t="s">
        <v>77</v>
      </c>
      <c r="F13" s="7" t="s">
        <v>78</v>
      </c>
      <c r="G13" s="7" t="s">
        <v>32</v>
      </c>
      <c r="H13" s="7" t="s">
        <v>33</v>
      </c>
      <c r="I13" s="7"/>
      <c r="J13" s="9"/>
      <c r="K13" s="7"/>
    </row>
    <row r="14" customFormat="false" ht="15" hidden="false" customHeight="false" outlineLevel="0" collapsed="false">
      <c r="A14" s="10" t="s">
        <v>79</v>
      </c>
      <c r="B14" s="10" t="s">
        <v>80</v>
      </c>
      <c r="C14" s="10" t="s">
        <v>28</v>
      </c>
      <c r="D14" s="11" t="s">
        <v>81</v>
      </c>
      <c r="E14" s="10" t="s">
        <v>82</v>
      </c>
      <c r="F14" s="10" t="s">
        <v>83</v>
      </c>
      <c r="G14" s="10" t="s">
        <v>74</v>
      </c>
      <c r="H14" s="10" t="s">
        <v>33</v>
      </c>
      <c r="I14" s="10"/>
      <c r="J14" s="9"/>
      <c r="K14" s="7"/>
    </row>
    <row r="15" customFormat="false" ht="15" hidden="false" customHeight="false" outlineLevel="0" collapsed="false">
      <c r="A15" s="10" t="s">
        <v>79</v>
      </c>
      <c r="B15" s="10" t="s">
        <v>84</v>
      </c>
      <c r="C15" s="10" t="s">
        <v>28</v>
      </c>
      <c r="D15" s="11" t="s">
        <v>85</v>
      </c>
      <c r="E15" s="10" t="s">
        <v>86</v>
      </c>
      <c r="F15" s="10" t="s">
        <v>87</v>
      </c>
      <c r="G15" s="10" t="s">
        <v>32</v>
      </c>
      <c r="H15" s="10" t="s">
        <v>33</v>
      </c>
      <c r="I15" s="10"/>
      <c r="J15" s="9"/>
      <c r="K15" s="7"/>
    </row>
    <row r="16" customFormat="false" ht="15" hidden="false" customHeight="false" outlineLevel="0" collapsed="false">
      <c r="A16" s="10" t="s">
        <v>79</v>
      </c>
      <c r="B16" s="10" t="s">
        <v>88</v>
      </c>
      <c r="C16" s="10" t="s">
        <v>28</v>
      </c>
      <c r="D16" s="11" t="s">
        <v>89</v>
      </c>
      <c r="E16" s="10" t="s">
        <v>90</v>
      </c>
      <c r="F16" s="10" t="s">
        <v>91</v>
      </c>
      <c r="G16" s="10" t="s">
        <v>32</v>
      </c>
      <c r="H16" s="10" t="s">
        <v>33</v>
      </c>
      <c r="I16" s="10"/>
      <c r="J16" s="9"/>
      <c r="K16" s="7"/>
    </row>
    <row r="17" customFormat="false" ht="15" hidden="false" customHeight="false" outlineLevel="0" collapsed="false">
      <c r="A17" s="10" t="s">
        <v>79</v>
      </c>
      <c r="B17" s="10" t="s">
        <v>92</v>
      </c>
      <c r="C17" s="10" t="s">
        <v>28</v>
      </c>
      <c r="D17" s="11" t="s">
        <v>93</v>
      </c>
      <c r="E17" s="10" t="s">
        <v>94</v>
      </c>
      <c r="F17" s="10" t="s">
        <v>95</v>
      </c>
      <c r="G17" s="10" t="s">
        <v>32</v>
      </c>
      <c r="H17" s="10" t="s">
        <v>33</v>
      </c>
      <c r="I17" s="10"/>
      <c r="J17" s="9"/>
      <c r="K17" s="7"/>
    </row>
    <row r="18" customFormat="false" ht="23.85" hidden="false" customHeight="false" outlineLevel="0" collapsed="false">
      <c r="A18" s="10" t="s">
        <v>79</v>
      </c>
      <c r="B18" s="10" t="s">
        <v>96</v>
      </c>
      <c r="C18" s="10" t="s">
        <v>28</v>
      </c>
      <c r="D18" s="11" t="s">
        <v>97</v>
      </c>
      <c r="E18" s="10" t="s">
        <v>98</v>
      </c>
      <c r="F18" s="10" t="s">
        <v>99</v>
      </c>
      <c r="G18" s="10" t="s">
        <v>32</v>
      </c>
      <c r="H18" s="10" t="s">
        <v>33</v>
      </c>
      <c r="I18" s="10"/>
      <c r="J18" s="9"/>
      <c r="K18" s="7"/>
    </row>
    <row r="19" customFormat="false" ht="15" hidden="false" customHeight="false" outlineLevel="0" collapsed="false">
      <c r="A19" s="10" t="s">
        <v>79</v>
      </c>
      <c r="B19" s="10" t="s">
        <v>100</v>
      </c>
      <c r="C19" s="10" t="s">
        <v>28</v>
      </c>
      <c r="D19" s="11" t="s">
        <v>101</v>
      </c>
      <c r="E19" s="10" t="s">
        <v>102</v>
      </c>
      <c r="F19" s="10" t="s">
        <v>103</v>
      </c>
      <c r="G19" s="10" t="s">
        <v>32</v>
      </c>
      <c r="H19" s="10" t="s">
        <v>33</v>
      </c>
      <c r="I19" s="10"/>
      <c r="J19" s="9"/>
      <c r="K19" s="7"/>
    </row>
    <row r="20" customFormat="false" ht="15" hidden="false" customHeight="false" outlineLevel="0" collapsed="false">
      <c r="A20" s="10" t="s">
        <v>79</v>
      </c>
      <c r="B20" s="10" t="s">
        <v>104</v>
      </c>
      <c r="C20" s="10" t="s">
        <v>28</v>
      </c>
      <c r="D20" s="11" t="s">
        <v>105</v>
      </c>
      <c r="E20" s="10" t="s">
        <v>106</v>
      </c>
      <c r="F20" s="10" t="s">
        <v>107</v>
      </c>
      <c r="G20" s="10" t="s">
        <v>32</v>
      </c>
      <c r="H20" s="10" t="s">
        <v>33</v>
      </c>
      <c r="I20" s="10"/>
      <c r="J20" s="9"/>
      <c r="K20" s="7"/>
    </row>
    <row r="21" customFormat="false" ht="15" hidden="false" customHeight="false" outlineLevel="0" collapsed="false">
      <c r="A21" s="10" t="s">
        <v>79</v>
      </c>
      <c r="B21" s="10" t="s">
        <v>108</v>
      </c>
      <c r="C21" s="10" t="s">
        <v>28</v>
      </c>
      <c r="D21" s="11" t="s">
        <v>109</v>
      </c>
      <c r="E21" s="10" t="s">
        <v>110</v>
      </c>
      <c r="F21" s="10" t="s">
        <v>111</v>
      </c>
      <c r="G21" s="10" t="s">
        <v>112</v>
      </c>
      <c r="H21" s="10" t="s">
        <v>33</v>
      </c>
      <c r="I21" s="10"/>
      <c r="J21" s="9"/>
      <c r="K21" s="7"/>
    </row>
    <row r="22" customFormat="false" ht="15" hidden="false" customHeight="false" outlineLevel="0" collapsed="false">
      <c r="A22" s="10" t="s">
        <v>79</v>
      </c>
      <c r="B22" s="10" t="s">
        <v>113</v>
      </c>
      <c r="C22" s="10" t="s">
        <v>28</v>
      </c>
      <c r="D22" s="11" t="s">
        <v>114</v>
      </c>
      <c r="E22" s="10" t="s">
        <v>115</v>
      </c>
      <c r="F22" s="10" t="s">
        <v>116</v>
      </c>
      <c r="G22" s="10" t="s">
        <v>74</v>
      </c>
      <c r="H22" s="10" t="s">
        <v>33</v>
      </c>
      <c r="I22" s="10"/>
      <c r="J22" s="9"/>
      <c r="K22" s="7"/>
    </row>
    <row r="23" customFormat="false" ht="15" hidden="false" customHeight="false" outlineLevel="0" collapsed="false">
      <c r="A23" s="10" t="s">
        <v>79</v>
      </c>
      <c r="B23" s="10" t="s">
        <v>117</v>
      </c>
      <c r="C23" s="10" t="s">
        <v>28</v>
      </c>
      <c r="D23" s="11" t="s">
        <v>118</v>
      </c>
      <c r="E23" s="10" t="s">
        <v>119</v>
      </c>
      <c r="F23" s="10" t="s">
        <v>120</v>
      </c>
      <c r="G23" s="10" t="s">
        <v>112</v>
      </c>
      <c r="H23" s="10" t="s">
        <v>121</v>
      </c>
      <c r="I23" s="10"/>
      <c r="J23" s="9"/>
      <c r="K23" s="7"/>
    </row>
    <row r="24" customFormat="false" ht="15" hidden="false" customHeight="false" outlineLevel="0" collapsed="false">
      <c r="A24" s="7" t="s">
        <v>26</v>
      </c>
      <c r="B24" s="7" t="s">
        <v>122</v>
      </c>
      <c r="C24" s="7" t="s">
        <v>123</v>
      </c>
      <c r="D24" s="8" t="s">
        <v>124</v>
      </c>
      <c r="E24" s="7" t="s">
        <v>125</v>
      </c>
      <c r="F24" s="7" t="s">
        <v>126</v>
      </c>
      <c r="G24" s="7" t="s">
        <v>32</v>
      </c>
      <c r="H24" s="7" t="s">
        <v>33</v>
      </c>
      <c r="I24" s="7"/>
      <c r="J24" s="9"/>
      <c r="K24" s="7"/>
    </row>
    <row r="25" customFormat="false" ht="15" hidden="false" customHeight="false" outlineLevel="0" collapsed="false">
      <c r="A25" s="7" t="s">
        <v>26</v>
      </c>
      <c r="B25" s="7" t="s">
        <v>127</v>
      </c>
      <c r="C25" s="7" t="s">
        <v>123</v>
      </c>
      <c r="D25" s="8" t="s">
        <v>128</v>
      </c>
      <c r="E25" s="7" t="s">
        <v>129</v>
      </c>
      <c r="F25" s="7" t="s">
        <v>130</v>
      </c>
      <c r="G25" s="7" t="s">
        <v>112</v>
      </c>
      <c r="H25" s="7" t="s">
        <v>121</v>
      </c>
      <c r="I25" s="7"/>
      <c r="J25" s="9"/>
      <c r="K25" s="7"/>
    </row>
    <row r="26" customFormat="false" ht="15" hidden="false" customHeight="false" outlineLevel="0" collapsed="false">
      <c r="A26" s="7" t="s">
        <v>26</v>
      </c>
      <c r="B26" s="7" t="s">
        <v>131</v>
      </c>
      <c r="C26" s="7" t="s">
        <v>123</v>
      </c>
      <c r="D26" s="8" t="s">
        <v>132</v>
      </c>
      <c r="E26" s="7" t="s">
        <v>133</v>
      </c>
      <c r="F26" s="7" t="s">
        <v>134</v>
      </c>
      <c r="G26" s="7" t="s">
        <v>112</v>
      </c>
      <c r="H26" s="7" t="s">
        <v>121</v>
      </c>
      <c r="I26" s="7"/>
      <c r="J26" s="9"/>
      <c r="K26" s="7"/>
    </row>
    <row r="27" customFormat="false" ht="15" hidden="false" customHeight="false" outlineLevel="0" collapsed="false">
      <c r="A27" s="7" t="s">
        <v>26</v>
      </c>
      <c r="B27" s="7" t="s">
        <v>135</v>
      </c>
      <c r="C27" s="7" t="s">
        <v>123</v>
      </c>
      <c r="D27" s="8" t="s">
        <v>136</v>
      </c>
      <c r="E27" s="7" t="s">
        <v>137</v>
      </c>
      <c r="F27" s="7" t="s">
        <v>138</v>
      </c>
      <c r="G27" s="7" t="s">
        <v>32</v>
      </c>
      <c r="H27" s="7" t="s">
        <v>139</v>
      </c>
      <c r="I27" s="7"/>
      <c r="J27" s="9"/>
      <c r="K27" s="7"/>
    </row>
    <row r="28" customFormat="false" ht="15" hidden="false" customHeight="false" outlineLevel="0" collapsed="false">
      <c r="A28" s="7" t="s">
        <v>26</v>
      </c>
      <c r="B28" s="7" t="s">
        <v>140</v>
      </c>
      <c r="C28" s="7" t="s">
        <v>123</v>
      </c>
      <c r="D28" s="8" t="s">
        <v>141</v>
      </c>
      <c r="E28" s="7" t="s">
        <v>142</v>
      </c>
      <c r="F28" s="7" t="s">
        <v>143</v>
      </c>
      <c r="G28" s="7" t="s">
        <v>32</v>
      </c>
      <c r="H28" s="7" t="s">
        <v>139</v>
      </c>
      <c r="I28" s="7"/>
      <c r="J28" s="9"/>
      <c r="K28" s="7"/>
    </row>
    <row r="29" customFormat="false" ht="15" hidden="false" customHeight="false" outlineLevel="0" collapsed="false">
      <c r="A29" s="7" t="s">
        <v>26</v>
      </c>
      <c r="B29" s="7" t="s">
        <v>144</v>
      </c>
      <c r="C29" s="7" t="s">
        <v>123</v>
      </c>
      <c r="D29" s="8" t="s">
        <v>145</v>
      </c>
      <c r="E29" s="7" t="s">
        <v>146</v>
      </c>
      <c r="F29" s="7" t="s">
        <v>147</v>
      </c>
      <c r="G29" s="7" t="s">
        <v>112</v>
      </c>
      <c r="H29" s="7" t="s">
        <v>121</v>
      </c>
      <c r="I29" s="7"/>
      <c r="J29" s="9"/>
      <c r="K29" s="7"/>
    </row>
    <row r="30" customFormat="false" ht="15" hidden="false" customHeight="false" outlineLevel="0" collapsed="false">
      <c r="A30" s="7" t="s">
        <v>26</v>
      </c>
      <c r="B30" s="7" t="s">
        <v>148</v>
      </c>
      <c r="C30" s="7" t="s">
        <v>123</v>
      </c>
      <c r="D30" s="8" t="s">
        <v>149</v>
      </c>
      <c r="E30" s="7" t="s">
        <v>150</v>
      </c>
      <c r="F30" s="7" t="s">
        <v>151</v>
      </c>
      <c r="G30" s="7" t="s">
        <v>74</v>
      </c>
      <c r="H30" s="7" t="s">
        <v>139</v>
      </c>
      <c r="I30" s="7"/>
      <c r="J30" s="9"/>
      <c r="K30" s="7"/>
    </row>
    <row r="31" customFormat="false" ht="15" hidden="false" customHeight="false" outlineLevel="0" collapsed="false">
      <c r="A31" s="7" t="s">
        <v>26</v>
      </c>
      <c r="B31" s="7" t="s">
        <v>152</v>
      </c>
      <c r="C31" s="7" t="s">
        <v>123</v>
      </c>
      <c r="D31" s="8" t="s">
        <v>153</v>
      </c>
      <c r="E31" s="7" t="s">
        <v>154</v>
      </c>
      <c r="F31" s="7" t="s">
        <v>155</v>
      </c>
      <c r="G31" s="7" t="s">
        <v>112</v>
      </c>
      <c r="H31" s="7" t="s">
        <v>121</v>
      </c>
      <c r="I31" s="7"/>
      <c r="J31" s="9"/>
      <c r="K31" s="7"/>
    </row>
    <row r="32" customFormat="false" ht="15" hidden="false" customHeight="false" outlineLevel="0" collapsed="false">
      <c r="A32" s="7" t="s">
        <v>26</v>
      </c>
      <c r="B32" s="7" t="s">
        <v>156</v>
      </c>
      <c r="C32" s="7" t="s">
        <v>123</v>
      </c>
      <c r="D32" s="8" t="s">
        <v>157</v>
      </c>
      <c r="E32" s="7" t="s">
        <v>158</v>
      </c>
      <c r="F32" s="7" t="s">
        <v>159</v>
      </c>
      <c r="G32" s="7" t="s">
        <v>112</v>
      </c>
      <c r="H32" s="7" t="s">
        <v>121</v>
      </c>
      <c r="I32" s="7"/>
      <c r="J32" s="9"/>
      <c r="K32" s="7"/>
    </row>
    <row r="33" customFormat="false" ht="15" hidden="false" customHeight="false" outlineLevel="0" collapsed="false">
      <c r="A33" s="7" t="s">
        <v>26</v>
      </c>
      <c r="B33" s="7" t="s">
        <v>160</v>
      </c>
      <c r="C33" s="7" t="s">
        <v>123</v>
      </c>
      <c r="D33" s="8" t="s">
        <v>161</v>
      </c>
      <c r="E33" s="7" t="s">
        <v>162</v>
      </c>
      <c r="F33" s="7" t="s">
        <v>163</v>
      </c>
      <c r="G33" s="7" t="s">
        <v>112</v>
      </c>
      <c r="H33" s="7" t="s">
        <v>121</v>
      </c>
      <c r="I33" s="7"/>
      <c r="J33" s="9"/>
      <c r="K33" s="7"/>
    </row>
    <row r="34" customFormat="false" ht="15" hidden="false" customHeight="false" outlineLevel="0" collapsed="false">
      <c r="A34" s="7" t="s">
        <v>26</v>
      </c>
      <c r="B34" s="7" t="s">
        <v>164</v>
      </c>
      <c r="C34" s="7" t="s">
        <v>123</v>
      </c>
      <c r="D34" s="8" t="s">
        <v>165</v>
      </c>
      <c r="E34" s="7" t="s">
        <v>166</v>
      </c>
      <c r="F34" s="7" t="s">
        <v>147</v>
      </c>
      <c r="G34" s="7" t="s">
        <v>112</v>
      </c>
      <c r="H34" s="7" t="s">
        <v>121</v>
      </c>
      <c r="I34" s="7"/>
      <c r="J34" s="9"/>
      <c r="K34" s="7"/>
    </row>
    <row r="35" customFormat="false" ht="15" hidden="false" customHeight="false" outlineLevel="0" collapsed="false">
      <c r="A35" s="7" t="s">
        <v>26</v>
      </c>
      <c r="B35" s="7" t="s">
        <v>167</v>
      </c>
      <c r="C35" s="7" t="s">
        <v>123</v>
      </c>
      <c r="D35" s="8" t="s">
        <v>168</v>
      </c>
      <c r="E35" s="7" t="s">
        <v>169</v>
      </c>
      <c r="F35" s="7" t="s">
        <v>170</v>
      </c>
      <c r="G35" s="7" t="s">
        <v>74</v>
      </c>
      <c r="H35" s="7" t="s">
        <v>139</v>
      </c>
      <c r="I35" s="7"/>
      <c r="J35" s="9"/>
      <c r="K35" s="7"/>
    </row>
    <row r="36" customFormat="false" ht="23.85" hidden="false" customHeight="false" outlineLevel="0" collapsed="false">
      <c r="A36" s="10" t="s">
        <v>79</v>
      </c>
      <c r="B36" s="10" t="s">
        <v>171</v>
      </c>
      <c r="C36" s="10" t="s">
        <v>123</v>
      </c>
      <c r="D36" s="11" t="s">
        <v>172</v>
      </c>
      <c r="E36" s="10" t="s">
        <v>173</v>
      </c>
      <c r="F36" s="10" t="s">
        <v>174</v>
      </c>
      <c r="G36" s="10" t="s">
        <v>74</v>
      </c>
      <c r="H36" s="10" t="s">
        <v>139</v>
      </c>
      <c r="I36" s="10"/>
      <c r="J36" s="9"/>
      <c r="K36" s="7"/>
    </row>
    <row r="37" customFormat="false" ht="15" hidden="false" customHeight="false" outlineLevel="0" collapsed="false">
      <c r="A37" s="10" t="s">
        <v>79</v>
      </c>
      <c r="B37" s="10" t="s">
        <v>175</v>
      </c>
      <c r="C37" s="10" t="s">
        <v>123</v>
      </c>
      <c r="D37" s="11" t="s">
        <v>176</v>
      </c>
      <c r="E37" s="10" t="s">
        <v>177</v>
      </c>
      <c r="F37" s="10" t="s">
        <v>126</v>
      </c>
      <c r="G37" s="10" t="s">
        <v>32</v>
      </c>
      <c r="H37" s="10" t="s">
        <v>139</v>
      </c>
      <c r="I37" s="10"/>
      <c r="J37" s="9"/>
      <c r="K37" s="7"/>
    </row>
    <row r="38" customFormat="false" ht="15" hidden="false" customHeight="false" outlineLevel="0" collapsed="false">
      <c r="A38" s="10" t="s">
        <v>79</v>
      </c>
      <c r="B38" s="10" t="s">
        <v>178</v>
      </c>
      <c r="C38" s="10" t="s">
        <v>123</v>
      </c>
      <c r="D38" s="11" t="s">
        <v>179</v>
      </c>
      <c r="E38" s="10" t="s">
        <v>180</v>
      </c>
      <c r="F38" s="10" t="s">
        <v>181</v>
      </c>
      <c r="G38" s="10" t="s">
        <v>112</v>
      </c>
      <c r="H38" s="10" t="s">
        <v>121</v>
      </c>
      <c r="I38" s="10"/>
      <c r="J38" s="9"/>
      <c r="K38" s="7"/>
    </row>
    <row r="39" customFormat="false" ht="15" hidden="false" customHeight="false" outlineLevel="0" collapsed="false">
      <c r="A39" s="10" t="s">
        <v>79</v>
      </c>
      <c r="B39" s="10" t="s">
        <v>182</v>
      </c>
      <c r="C39" s="10" t="s">
        <v>123</v>
      </c>
      <c r="D39" s="11" t="s">
        <v>183</v>
      </c>
      <c r="E39" s="10" t="s">
        <v>184</v>
      </c>
      <c r="F39" s="10" t="s">
        <v>185</v>
      </c>
      <c r="G39" s="10" t="s">
        <v>32</v>
      </c>
      <c r="H39" s="10" t="s">
        <v>139</v>
      </c>
      <c r="I39" s="10"/>
      <c r="J39" s="9"/>
      <c r="K39" s="7"/>
    </row>
    <row r="40" customFormat="false" ht="15" hidden="false" customHeight="false" outlineLevel="0" collapsed="false">
      <c r="A40" s="10" t="s">
        <v>79</v>
      </c>
      <c r="B40" s="10" t="s">
        <v>186</v>
      </c>
      <c r="C40" s="10" t="s">
        <v>123</v>
      </c>
      <c r="D40" s="11" t="s">
        <v>187</v>
      </c>
      <c r="E40" s="10" t="s">
        <v>188</v>
      </c>
      <c r="F40" s="10" t="s">
        <v>189</v>
      </c>
      <c r="G40" s="10" t="s">
        <v>112</v>
      </c>
      <c r="H40" s="10" t="s">
        <v>121</v>
      </c>
      <c r="I40" s="10"/>
      <c r="J40" s="9"/>
      <c r="K40" s="7"/>
    </row>
    <row r="41" customFormat="false" ht="15" hidden="false" customHeight="false" outlineLevel="0" collapsed="false">
      <c r="A41" s="10" t="s">
        <v>79</v>
      </c>
      <c r="B41" s="10" t="s">
        <v>190</v>
      </c>
      <c r="C41" s="10" t="s">
        <v>123</v>
      </c>
      <c r="D41" s="11" t="s">
        <v>191</v>
      </c>
      <c r="E41" s="10" t="s">
        <v>192</v>
      </c>
      <c r="F41" s="10" t="s">
        <v>193</v>
      </c>
      <c r="G41" s="10" t="s">
        <v>74</v>
      </c>
      <c r="H41" s="10" t="s">
        <v>139</v>
      </c>
      <c r="I41" s="10"/>
      <c r="J41" s="9"/>
      <c r="K41" s="7"/>
    </row>
    <row r="42" customFormat="false" ht="15" hidden="false" customHeight="false" outlineLevel="0" collapsed="false">
      <c r="A42" s="10" t="s">
        <v>79</v>
      </c>
      <c r="B42" s="10" t="s">
        <v>194</v>
      </c>
      <c r="C42" s="10" t="s">
        <v>123</v>
      </c>
      <c r="D42" s="11" t="s">
        <v>195</v>
      </c>
      <c r="E42" s="10" t="s">
        <v>196</v>
      </c>
      <c r="F42" s="10" t="s">
        <v>197</v>
      </c>
      <c r="G42" s="10" t="s">
        <v>112</v>
      </c>
      <c r="H42" s="10" t="s">
        <v>121</v>
      </c>
      <c r="I42" s="10"/>
      <c r="J42" s="9"/>
      <c r="K42" s="7"/>
    </row>
    <row r="43" customFormat="false" ht="15" hidden="false" customHeight="false" outlineLevel="0" collapsed="false">
      <c r="A43" s="10" t="s">
        <v>79</v>
      </c>
      <c r="B43" s="10" t="s">
        <v>198</v>
      </c>
      <c r="C43" s="10" t="s">
        <v>123</v>
      </c>
      <c r="D43" s="11" t="s">
        <v>199</v>
      </c>
      <c r="E43" s="10" t="s">
        <v>200</v>
      </c>
      <c r="F43" s="10" t="s">
        <v>201</v>
      </c>
      <c r="G43" s="10" t="s">
        <v>112</v>
      </c>
      <c r="H43" s="10" t="s">
        <v>121</v>
      </c>
      <c r="I43" s="10"/>
      <c r="J43" s="9"/>
      <c r="K43" s="7"/>
    </row>
    <row r="44" customFormat="false" ht="23.85" hidden="false" customHeight="false" outlineLevel="0" collapsed="false">
      <c r="A44" s="10" t="s">
        <v>79</v>
      </c>
      <c r="B44" s="10" t="s">
        <v>202</v>
      </c>
      <c r="C44" s="10" t="s">
        <v>123</v>
      </c>
      <c r="D44" s="11" t="s">
        <v>203</v>
      </c>
      <c r="E44" s="10" t="s">
        <v>204</v>
      </c>
      <c r="F44" s="10" t="s">
        <v>205</v>
      </c>
      <c r="G44" s="10" t="s">
        <v>74</v>
      </c>
      <c r="H44" s="10" t="s">
        <v>139</v>
      </c>
      <c r="I44" s="10"/>
      <c r="J44" s="9"/>
      <c r="K44" s="7"/>
    </row>
    <row r="45" customFormat="false" ht="15" hidden="false" customHeight="false" outlineLevel="0" collapsed="false">
      <c r="A45" s="10" t="s">
        <v>79</v>
      </c>
      <c r="B45" s="10" t="s">
        <v>206</v>
      </c>
      <c r="C45" s="10" t="s">
        <v>123</v>
      </c>
      <c r="D45" s="11" t="s">
        <v>207</v>
      </c>
      <c r="E45" s="10" t="s">
        <v>208</v>
      </c>
      <c r="F45" s="10" t="s">
        <v>209</v>
      </c>
      <c r="G45" s="10" t="s">
        <v>210</v>
      </c>
      <c r="H45" s="10" t="s">
        <v>121</v>
      </c>
      <c r="I45" s="10"/>
      <c r="J45" s="9"/>
      <c r="K45" s="7"/>
    </row>
    <row r="46" customFormat="false" ht="15" hidden="false" customHeight="false" outlineLevel="0" collapsed="false">
      <c r="A46" s="7" t="s">
        <v>26</v>
      </c>
      <c r="B46" s="7" t="s">
        <v>211</v>
      </c>
      <c r="C46" s="7" t="s">
        <v>212</v>
      </c>
      <c r="D46" s="8" t="s">
        <v>213</v>
      </c>
      <c r="E46" s="7" t="s">
        <v>214</v>
      </c>
      <c r="F46" s="7" t="s">
        <v>215</v>
      </c>
      <c r="G46" s="7" t="s">
        <v>216</v>
      </c>
      <c r="H46" s="7" t="s">
        <v>217</v>
      </c>
      <c r="I46" s="7"/>
      <c r="J46" s="9"/>
      <c r="K46" s="7"/>
    </row>
    <row r="47" customFormat="false" ht="15" hidden="false" customHeight="false" outlineLevel="0" collapsed="false">
      <c r="A47" s="7" t="s">
        <v>26</v>
      </c>
      <c r="B47" s="7" t="s">
        <v>218</v>
      </c>
      <c r="C47" s="7" t="s">
        <v>212</v>
      </c>
      <c r="D47" s="8" t="s">
        <v>219</v>
      </c>
      <c r="E47" s="7" t="s">
        <v>220</v>
      </c>
      <c r="F47" s="7" t="s">
        <v>221</v>
      </c>
      <c r="G47" s="7" t="s">
        <v>216</v>
      </c>
      <c r="H47" s="7" t="s">
        <v>217</v>
      </c>
      <c r="I47" s="7"/>
      <c r="J47" s="9"/>
      <c r="K47" s="7"/>
    </row>
    <row r="48" customFormat="false" ht="15" hidden="false" customHeight="false" outlineLevel="0" collapsed="false">
      <c r="A48" s="7" t="s">
        <v>26</v>
      </c>
      <c r="B48" s="7" t="s">
        <v>222</v>
      </c>
      <c r="C48" s="7" t="s">
        <v>212</v>
      </c>
      <c r="D48" s="8" t="s">
        <v>223</v>
      </c>
      <c r="E48" s="7" t="s">
        <v>224</v>
      </c>
      <c r="F48" s="7" t="s">
        <v>225</v>
      </c>
      <c r="G48" s="7" t="s">
        <v>74</v>
      </c>
      <c r="H48" s="7" t="s">
        <v>139</v>
      </c>
      <c r="I48" s="7" t="s">
        <v>226</v>
      </c>
      <c r="J48" s="9"/>
      <c r="K48" s="7"/>
    </row>
    <row r="49" customFormat="false" ht="15" hidden="false" customHeight="false" outlineLevel="0" collapsed="false">
      <c r="A49" s="7" t="s">
        <v>26</v>
      </c>
      <c r="B49" s="7" t="s">
        <v>227</v>
      </c>
      <c r="C49" s="7" t="s">
        <v>212</v>
      </c>
      <c r="D49" s="8" t="s">
        <v>228</v>
      </c>
      <c r="E49" s="7" t="s">
        <v>229</v>
      </c>
      <c r="F49" s="7" t="s">
        <v>230</v>
      </c>
      <c r="G49" s="7" t="s">
        <v>74</v>
      </c>
      <c r="H49" s="7" t="s">
        <v>139</v>
      </c>
      <c r="I49" s="7" t="s">
        <v>226</v>
      </c>
      <c r="J49" s="9"/>
      <c r="K49" s="7"/>
    </row>
    <row r="50" customFormat="false" ht="15" hidden="false" customHeight="false" outlineLevel="0" collapsed="false">
      <c r="A50" s="7" t="s">
        <v>26</v>
      </c>
      <c r="B50" s="7" t="s">
        <v>231</v>
      </c>
      <c r="C50" s="7" t="s">
        <v>212</v>
      </c>
      <c r="D50" s="8" t="s">
        <v>232</v>
      </c>
      <c r="E50" s="7" t="s">
        <v>233</v>
      </c>
      <c r="F50" s="7" t="s">
        <v>73</v>
      </c>
      <c r="G50" s="7" t="s">
        <v>74</v>
      </c>
      <c r="H50" s="7" t="s">
        <v>139</v>
      </c>
      <c r="I50" s="7" t="s">
        <v>226</v>
      </c>
      <c r="J50" s="9"/>
      <c r="K50" s="7"/>
    </row>
    <row r="51" customFormat="false" ht="15" hidden="false" customHeight="false" outlineLevel="0" collapsed="false">
      <c r="A51" s="7" t="s">
        <v>26</v>
      </c>
      <c r="B51" s="7" t="s">
        <v>234</v>
      </c>
      <c r="C51" s="7" t="s">
        <v>212</v>
      </c>
      <c r="D51" s="8" t="s">
        <v>235</v>
      </c>
      <c r="E51" s="7" t="s">
        <v>236</v>
      </c>
      <c r="F51" s="7" t="s">
        <v>237</v>
      </c>
      <c r="G51" s="7" t="s">
        <v>216</v>
      </c>
      <c r="H51" s="7" t="s">
        <v>217</v>
      </c>
      <c r="I51" s="7"/>
      <c r="J51" s="9"/>
      <c r="K51" s="7"/>
    </row>
    <row r="52" customFormat="false" ht="15" hidden="false" customHeight="false" outlineLevel="0" collapsed="false">
      <c r="A52" s="7" t="s">
        <v>26</v>
      </c>
      <c r="B52" s="7" t="s">
        <v>238</v>
      </c>
      <c r="C52" s="7" t="s">
        <v>212</v>
      </c>
      <c r="D52" s="8" t="s">
        <v>239</v>
      </c>
      <c r="E52" s="7" t="s">
        <v>240</v>
      </c>
      <c r="F52" s="7" t="s">
        <v>241</v>
      </c>
      <c r="G52" s="7" t="s">
        <v>216</v>
      </c>
      <c r="H52" s="7" t="s">
        <v>242</v>
      </c>
      <c r="I52" s="7"/>
      <c r="J52" s="9"/>
      <c r="K52" s="7"/>
    </row>
    <row r="53" customFormat="false" ht="15" hidden="false" customHeight="false" outlineLevel="0" collapsed="false">
      <c r="A53" s="7" t="s">
        <v>26</v>
      </c>
      <c r="B53" s="7" t="s">
        <v>243</v>
      </c>
      <c r="C53" s="7" t="s">
        <v>212</v>
      </c>
      <c r="D53" s="8" t="s">
        <v>244</v>
      </c>
      <c r="E53" s="7" t="s">
        <v>245</v>
      </c>
      <c r="F53" s="7" t="s">
        <v>246</v>
      </c>
      <c r="G53" s="7" t="s">
        <v>74</v>
      </c>
      <c r="H53" s="7" t="s">
        <v>139</v>
      </c>
      <c r="I53" s="7" t="s">
        <v>226</v>
      </c>
      <c r="J53" s="9"/>
      <c r="K53" s="7"/>
    </row>
    <row r="54" customFormat="false" ht="15" hidden="false" customHeight="false" outlineLevel="0" collapsed="false">
      <c r="A54" s="7" t="s">
        <v>26</v>
      </c>
      <c r="B54" s="7" t="s">
        <v>247</v>
      </c>
      <c r="C54" s="7" t="s">
        <v>212</v>
      </c>
      <c r="D54" s="8" t="s">
        <v>248</v>
      </c>
      <c r="E54" s="7" t="s">
        <v>249</v>
      </c>
      <c r="F54" s="7" t="s">
        <v>250</v>
      </c>
      <c r="G54" s="7" t="s">
        <v>216</v>
      </c>
      <c r="H54" s="7" t="s">
        <v>217</v>
      </c>
      <c r="I54" s="7"/>
      <c r="J54" s="9"/>
      <c r="K54" s="7"/>
    </row>
    <row r="55" customFormat="false" ht="15" hidden="false" customHeight="false" outlineLevel="0" collapsed="false">
      <c r="A55" s="7" t="s">
        <v>26</v>
      </c>
      <c r="B55" s="7" t="s">
        <v>251</v>
      </c>
      <c r="C55" s="7" t="s">
        <v>212</v>
      </c>
      <c r="D55" s="8" t="s">
        <v>252</v>
      </c>
      <c r="E55" s="7" t="s">
        <v>253</v>
      </c>
      <c r="F55" s="7" t="s">
        <v>254</v>
      </c>
      <c r="G55" s="7" t="s">
        <v>216</v>
      </c>
      <c r="H55" s="7" t="s">
        <v>217</v>
      </c>
      <c r="I55" s="7"/>
      <c r="J55" s="9"/>
      <c r="K55" s="7"/>
    </row>
    <row r="56" customFormat="false" ht="15" hidden="false" customHeight="false" outlineLevel="0" collapsed="false">
      <c r="A56" s="7" t="s">
        <v>26</v>
      </c>
      <c r="B56" s="7" t="s">
        <v>255</v>
      </c>
      <c r="C56" s="7" t="s">
        <v>212</v>
      </c>
      <c r="D56" s="8" t="s">
        <v>256</v>
      </c>
      <c r="E56" s="7" t="s">
        <v>257</v>
      </c>
      <c r="F56" s="7" t="s">
        <v>258</v>
      </c>
      <c r="G56" s="7" t="s">
        <v>74</v>
      </c>
      <c r="H56" s="7" t="s">
        <v>139</v>
      </c>
      <c r="I56" s="7" t="s">
        <v>226</v>
      </c>
      <c r="J56" s="9"/>
      <c r="K56" s="7"/>
    </row>
    <row r="57" customFormat="false" ht="15" hidden="false" customHeight="false" outlineLevel="0" collapsed="false">
      <c r="A57" s="7" t="s">
        <v>26</v>
      </c>
      <c r="B57" s="7" t="s">
        <v>259</v>
      </c>
      <c r="C57" s="7" t="s">
        <v>212</v>
      </c>
      <c r="D57" s="8" t="s">
        <v>260</v>
      </c>
      <c r="E57" s="7" t="s">
        <v>261</v>
      </c>
      <c r="F57" s="7" t="s">
        <v>262</v>
      </c>
      <c r="G57" s="7" t="s">
        <v>74</v>
      </c>
      <c r="H57" s="7" t="s">
        <v>139</v>
      </c>
      <c r="I57" s="7" t="s">
        <v>226</v>
      </c>
      <c r="J57" s="9"/>
      <c r="K57" s="7"/>
    </row>
    <row r="58" customFormat="false" ht="15" hidden="false" customHeight="false" outlineLevel="0" collapsed="false">
      <c r="A58" s="10" t="s">
        <v>79</v>
      </c>
      <c r="B58" s="10" t="s">
        <v>263</v>
      </c>
      <c r="C58" s="10" t="s">
        <v>212</v>
      </c>
      <c r="D58" s="11" t="s">
        <v>264</v>
      </c>
      <c r="E58" s="10" t="s">
        <v>265</v>
      </c>
      <c r="F58" s="10" t="s">
        <v>266</v>
      </c>
      <c r="G58" s="10" t="s">
        <v>216</v>
      </c>
      <c r="H58" s="10" t="s">
        <v>139</v>
      </c>
      <c r="I58" s="10"/>
      <c r="J58" s="9"/>
      <c r="K58" s="7"/>
    </row>
    <row r="59" customFormat="false" ht="15" hidden="false" customHeight="false" outlineLevel="0" collapsed="false">
      <c r="A59" s="10" t="s">
        <v>79</v>
      </c>
      <c r="B59" s="10" t="s">
        <v>267</v>
      </c>
      <c r="C59" s="10" t="s">
        <v>212</v>
      </c>
      <c r="D59" s="11" t="s">
        <v>268</v>
      </c>
      <c r="E59" s="10" t="s">
        <v>269</v>
      </c>
      <c r="F59" s="10" t="s">
        <v>270</v>
      </c>
      <c r="G59" s="10" t="s">
        <v>216</v>
      </c>
      <c r="H59" s="10" t="s">
        <v>217</v>
      </c>
      <c r="I59" s="10"/>
      <c r="J59" s="9"/>
      <c r="K59" s="7"/>
    </row>
    <row r="60" customFormat="false" ht="15" hidden="false" customHeight="false" outlineLevel="0" collapsed="false">
      <c r="A60" s="10" t="s">
        <v>79</v>
      </c>
      <c r="B60" s="10" t="s">
        <v>271</v>
      </c>
      <c r="C60" s="10" t="s">
        <v>212</v>
      </c>
      <c r="D60" s="11" t="s">
        <v>272</v>
      </c>
      <c r="E60" s="10" t="s">
        <v>273</v>
      </c>
      <c r="F60" s="10" t="s">
        <v>274</v>
      </c>
      <c r="G60" s="10" t="s">
        <v>216</v>
      </c>
      <c r="H60" s="10" t="s">
        <v>217</v>
      </c>
      <c r="I60" s="10"/>
      <c r="J60" s="9"/>
      <c r="K60" s="7"/>
    </row>
    <row r="61" customFormat="false" ht="15" hidden="false" customHeight="false" outlineLevel="0" collapsed="false">
      <c r="A61" s="10" t="s">
        <v>79</v>
      </c>
      <c r="B61" s="10" t="s">
        <v>275</v>
      </c>
      <c r="C61" s="10" t="s">
        <v>212</v>
      </c>
      <c r="D61" s="11" t="s">
        <v>276</v>
      </c>
      <c r="E61" s="10" t="s">
        <v>277</v>
      </c>
      <c r="F61" s="10" t="s">
        <v>278</v>
      </c>
      <c r="G61" s="10" t="s">
        <v>216</v>
      </c>
      <c r="H61" s="10" t="s">
        <v>217</v>
      </c>
      <c r="I61" s="10"/>
      <c r="J61" s="9"/>
      <c r="K61" s="7"/>
    </row>
    <row r="62" customFormat="false" ht="15" hidden="false" customHeight="false" outlineLevel="0" collapsed="false">
      <c r="A62" s="10" t="s">
        <v>79</v>
      </c>
      <c r="B62" s="10" t="s">
        <v>279</v>
      </c>
      <c r="C62" s="10" t="s">
        <v>212</v>
      </c>
      <c r="D62" s="11" t="s">
        <v>280</v>
      </c>
      <c r="E62" s="10" t="s">
        <v>281</v>
      </c>
      <c r="F62" s="10" t="s">
        <v>282</v>
      </c>
      <c r="G62" s="10" t="s">
        <v>74</v>
      </c>
      <c r="H62" s="10" t="s">
        <v>139</v>
      </c>
      <c r="I62" s="10" t="s">
        <v>226</v>
      </c>
      <c r="J62" s="9"/>
      <c r="K62" s="7"/>
    </row>
    <row r="63" customFormat="false" ht="15" hidden="false" customHeight="false" outlineLevel="0" collapsed="false">
      <c r="A63" s="10" t="s">
        <v>79</v>
      </c>
      <c r="B63" s="10" t="s">
        <v>283</v>
      </c>
      <c r="C63" s="10" t="s">
        <v>212</v>
      </c>
      <c r="D63" s="11" t="s">
        <v>284</v>
      </c>
      <c r="E63" s="10" t="s">
        <v>285</v>
      </c>
      <c r="F63" s="10" t="s">
        <v>286</v>
      </c>
      <c r="G63" s="10" t="s">
        <v>74</v>
      </c>
      <c r="H63" s="10" t="s">
        <v>139</v>
      </c>
      <c r="I63" s="10" t="s">
        <v>226</v>
      </c>
      <c r="J63" s="9"/>
      <c r="K63" s="7"/>
    </row>
    <row r="64" customFormat="false" ht="15" hidden="false" customHeight="false" outlineLevel="0" collapsed="false">
      <c r="A64" s="10" t="s">
        <v>79</v>
      </c>
      <c r="B64" s="10" t="s">
        <v>287</v>
      </c>
      <c r="C64" s="10" t="s">
        <v>212</v>
      </c>
      <c r="D64" s="11" t="s">
        <v>288</v>
      </c>
      <c r="E64" s="10" t="s">
        <v>289</v>
      </c>
      <c r="F64" s="10" t="s">
        <v>290</v>
      </c>
      <c r="G64" s="10" t="s">
        <v>74</v>
      </c>
      <c r="H64" s="10" t="s">
        <v>139</v>
      </c>
      <c r="I64" s="10" t="s">
        <v>226</v>
      </c>
      <c r="J64" s="9"/>
      <c r="K64" s="7"/>
    </row>
    <row r="65" customFormat="false" ht="15" hidden="false" customHeight="false" outlineLevel="0" collapsed="false">
      <c r="A65" s="10" t="s">
        <v>79</v>
      </c>
      <c r="B65" s="10" t="s">
        <v>291</v>
      </c>
      <c r="C65" s="10" t="s">
        <v>212</v>
      </c>
      <c r="D65" s="11" t="s">
        <v>292</v>
      </c>
      <c r="E65" s="10" t="s">
        <v>293</v>
      </c>
      <c r="F65" s="10" t="s">
        <v>294</v>
      </c>
      <c r="G65" s="10" t="s">
        <v>74</v>
      </c>
      <c r="H65" s="10" t="s">
        <v>139</v>
      </c>
      <c r="I65" s="10" t="s">
        <v>226</v>
      </c>
      <c r="J65" s="9"/>
      <c r="K65" s="7"/>
    </row>
    <row r="66" customFormat="false" ht="15" hidden="false" customHeight="false" outlineLevel="0" collapsed="false">
      <c r="A66" s="10" t="s">
        <v>79</v>
      </c>
      <c r="B66" s="10" t="s">
        <v>295</v>
      </c>
      <c r="C66" s="10" t="s">
        <v>212</v>
      </c>
      <c r="D66" s="11" t="s">
        <v>296</v>
      </c>
      <c r="E66" s="10" t="s">
        <v>297</v>
      </c>
      <c r="F66" s="10" t="s">
        <v>298</v>
      </c>
      <c r="G66" s="10" t="s">
        <v>216</v>
      </c>
      <c r="H66" s="10" t="s">
        <v>217</v>
      </c>
      <c r="I66" s="10"/>
      <c r="J66" s="9"/>
      <c r="K66" s="7"/>
    </row>
    <row r="67" customFormat="false" ht="15" hidden="false" customHeight="false" outlineLevel="0" collapsed="false">
      <c r="A67" s="10" t="s">
        <v>79</v>
      </c>
      <c r="B67" s="10" t="s">
        <v>299</v>
      </c>
      <c r="C67" s="10" t="s">
        <v>212</v>
      </c>
      <c r="D67" s="11" t="s">
        <v>300</v>
      </c>
      <c r="E67" s="10" t="s">
        <v>301</v>
      </c>
      <c r="F67" s="10" t="s">
        <v>302</v>
      </c>
      <c r="G67" s="10" t="s">
        <v>74</v>
      </c>
      <c r="H67" s="10" t="s">
        <v>139</v>
      </c>
      <c r="I67" s="10" t="s">
        <v>226</v>
      </c>
      <c r="J67" s="9"/>
      <c r="K67" s="7"/>
    </row>
  </sheetData>
  <autoFilter ref="A1:K67"/>
  <conditionalFormatting sqref="J2:J67">
    <cfRule type="expression" priority="2" aboveAverage="0" equalAverage="0" bottom="0" percent="0" rank="0" text="" dxfId="5">
      <formula>$J2="Remover"</formula>
    </cfRule>
    <cfRule type="expression" priority="3" aboveAverage="0" equalAverage="0" bottom="0" percent="0" rank="0" text="" dxfId="6">
      <formula>$J2="Aprovar"</formula>
    </cfRule>
  </conditionalFormatting>
  <dataValidations count="1">
    <dataValidation allowBlank="true" error="Escolha Aprovar, Editar ou Remover." errorStyle="stop" operator="between" prompt="Aprovar · Editar · Remover" showDropDown="false" showErrorMessage="false" showInputMessage="false" sqref="J2:J67" type="list">
      <formula1>"Aprovar,Editar,Remover"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2" t="s">
        <v>17</v>
      </c>
      <c r="B1" s="12" t="s">
        <v>26</v>
      </c>
      <c r="C1" s="12" t="s">
        <v>303</v>
      </c>
      <c r="D1" s="12" t="s">
        <v>304</v>
      </c>
      <c r="E1" s="12" t="s">
        <v>305</v>
      </c>
      <c r="F1" s="12" t="s">
        <v>306</v>
      </c>
    </row>
    <row r="2" customFormat="false" ht="15" hidden="false" customHeight="false" outlineLevel="0" collapsed="false">
      <c r="A2" s="13" t="s">
        <v>28</v>
      </c>
      <c r="B2" s="13" t="n">
        <f aca="false">COUNTIFS('Missões do dia'!$C$2:$C$67,$A2,'Missões do dia'!$A$2:$A$67,"No app")</f>
        <v>12</v>
      </c>
      <c r="C2" s="13" t="n">
        <f aca="false">COUNTIFS('Missões do dia'!$C$2:$C$67,$A2,'Missões do dia'!$A$2:$A$67,"Nova")</f>
        <v>10</v>
      </c>
      <c r="D2" s="13" t="n">
        <f aca="false">COUNTIFS('Missões do dia'!$C$2:$C$67,$A2,'Missões do dia'!$J$2:$J$67,"Remover")</f>
        <v>0</v>
      </c>
      <c r="E2" s="14" t="n">
        <f aca="false">B2+C2-D2</f>
        <v>22</v>
      </c>
      <c r="F2" s="13" t="n">
        <v>15</v>
      </c>
    </row>
    <row r="3" customFormat="false" ht="15" hidden="false" customHeight="false" outlineLevel="0" collapsed="false">
      <c r="A3" s="13" t="s">
        <v>123</v>
      </c>
      <c r="B3" s="13" t="n">
        <f aca="false">COUNTIFS('Missões do dia'!$C$2:$C$67,$A3,'Missões do dia'!$A$2:$A$67,"No app")</f>
        <v>12</v>
      </c>
      <c r="C3" s="13" t="n">
        <f aca="false">COUNTIFS('Missões do dia'!$C$2:$C$67,$A3,'Missões do dia'!$A$2:$A$67,"Nova")</f>
        <v>10</v>
      </c>
      <c r="D3" s="13" t="n">
        <f aca="false">COUNTIFS('Missões do dia'!$C$2:$C$67,$A3,'Missões do dia'!$J$2:$J$67,"Remover")</f>
        <v>0</v>
      </c>
      <c r="E3" s="14" t="n">
        <f aca="false">B3+C3-D3</f>
        <v>22</v>
      </c>
      <c r="F3" s="13" t="n">
        <v>15</v>
      </c>
    </row>
    <row r="4" customFormat="false" ht="15" hidden="false" customHeight="false" outlineLevel="0" collapsed="false">
      <c r="A4" s="13" t="s">
        <v>212</v>
      </c>
      <c r="B4" s="13" t="n">
        <f aca="false">COUNTIFS('Missões do dia'!$C$2:$C$67,$A4,'Missões do dia'!$A$2:$A$67,"No app")</f>
        <v>12</v>
      </c>
      <c r="C4" s="13" t="n">
        <f aca="false">COUNTIFS('Missões do dia'!$C$2:$C$67,$A4,'Missões do dia'!$A$2:$A$67,"Nova")</f>
        <v>10</v>
      </c>
      <c r="D4" s="13" t="n">
        <f aca="false">COUNTIFS('Missões do dia'!$C$2:$C$67,$A4,'Missões do dia'!$J$2:$J$67,"Remover")</f>
        <v>0</v>
      </c>
      <c r="E4" s="14" t="n">
        <f aca="false">B4+C4-D4</f>
        <v>22</v>
      </c>
      <c r="F4" s="13" t="n">
        <v>15</v>
      </c>
    </row>
    <row r="5" customFormat="false" ht="15" hidden="false" customHeight="false" outlineLevel="0" collapsed="false">
      <c r="A5" s="15" t="s">
        <v>307</v>
      </c>
      <c r="B5" s="13" t="n">
        <f aca="false">SUM(B2:B4)</f>
        <v>36</v>
      </c>
      <c r="C5" s="13" t="n">
        <f aca="false">SUM(C2:C4)</f>
        <v>30</v>
      </c>
      <c r="D5" s="13" t="n">
        <f aca="false">SUM(D2:D4)</f>
        <v>0</v>
      </c>
      <c r="E5" s="13" t="n">
        <f aca="false">SUM(E2:E4)</f>
        <v>66</v>
      </c>
      <c r="F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</row>
    <row r="7" customFormat="false" ht="15" hidden="false" customHeight="false" outlineLevel="0" collapsed="false">
      <c r="A7" s="13" t="s">
        <v>308</v>
      </c>
      <c r="B7" s="13" t="n">
        <f aca="false">COUNTIFS('Missões do dia'!$A$2:$A$67,"Nova",'Missões do dia'!$J$2:$J$67,"Aprovar")</f>
        <v>0</v>
      </c>
      <c r="C7" s="13"/>
      <c r="D7" s="13"/>
      <c r="E7" s="13"/>
      <c r="F7" s="13"/>
    </row>
    <row r="8" customFormat="false" ht="15" hidden="false" customHeight="false" outlineLevel="0" collapsed="false">
      <c r="A8" s="13" t="s">
        <v>309</v>
      </c>
      <c r="B8" s="13" t="n">
        <f aca="false">COUNTIF('Missões do dia'!$J$2:$J$67,"Editar")</f>
        <v>0</v>
      </c>
      <c r="C8" s="13"/>
      <c r="D8" s="13"/>
      <c r="E8" s="13"/>
      <c r="F8" s="13"/>
    </row>
    <row r="9" customFormat="false" ht="15" hidden="false" customHeight="false" outlineLevel="0" collapsed="false">
      <c r="A9" s="13" t="s">
        <v>310</v>
      </c>
      <c r="B9" s="13" t="n">
        <f aca="false">COUNTIFS('Missões do dia'!$A$2:$A$67,"Nova",'Missões do dia'!$J$2:$J$67,"")</f>
        <v>30</v>
      </c>
      <c r="C9" s="13"/>
      <c r="D9" s="13"/>
      <c r="E9" s="13"/>
      <c r="F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6" t="s">
        <v>311</v>
      </c>
      <c r="B11" s="13"/>
      <c r="C11" s="13"/>
      <c r="D11" s="13"/>
      <c r="E11" s="13"/>
      <c r="F11" s="13"/>
    </row>
  </sheetData>
  <conditionalFormatting sqref="E2:E4">
    <cfRule type="expression" priority="2" aboveAverage="0" equalAverage="0" bottom="0" percent="0" rank="0" text="" dxfId="5">
      <formula>E2&lt;F2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2026-10-13T16:53:39Z</dcterms:created>
  <dc:creator>openpyxl</dc:creator>
  <dc:description/>
  <dc:language>en-US</dc:language>
  <cp:lastModifiedBy/>
  <dcterms:modified xsi:type="dcterms:W3CDTF">2026-10-13T16:53:40Z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